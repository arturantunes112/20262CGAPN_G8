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é Ronaldo\Desktop\"/>
    </mc:Choice>
  </mc:AlternateContent>
  <xr:revisionPtr revIDLastSave="0" documentId="8_{12E0EA91-4B13-4013-AC8E-DA3510033D9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Parametros_PNAE" sheetId="2" r:id="rId1"/>
    <sheet name="Simulador_Escol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B21" i="3"/>
  <c r="B20" i="3"/>
  <c r="C11" i="3"/>
  <c r="C12" i="3"/>
  <c r="D30" i="3" s="1"/>
  <c r="C13" i="3"/>
  <c r="D31" i="3" s="1"/>
  <c r="C14" i="3"/>
  <c r="C15" i="3"/>
  <c r="C16" i="3"/>
  <c r="C10" i="3"/>
  <c r="C29" i="3"/>
  <c r="C30" i="3"/>
  <c r="C31" i="3"/>
  <c r="C32" i="3"/>
  <c r="C33" i="3"/>
  <c r="C34" i="3"/>
  <c r="C28" i="3"/>
  <c r="D29" i="3"/>
  <c r="D32" i="3"/>
  <c r="D33" i="3"/>
  <c r="D34" i="3"/>
  <c r="B17" i="3"/>
  <c r="C35" i="3" l="1"/>
  <c r="B39" i="3" s="1"/>
  <c r="D35" i="3"/>
  <c r="C39" i="3" s="1"/>
  <c r="D28" i="3"/>
  <c r="B19" i="3"/>
</calcChain>
</file>

<file path=xl/sharedStrings.xml><?xml version="1.0" encoding="utf-8"?>
<sst xmlns="http://schemas.openxmlformats.org/spreadsheetml/2006/main" count="59" uniqueCount="40">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</sst>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H18" sqref="H18"/>
    </sheetView>
  </sheetViews>
  <sheetFormatPr defaultColWidth="8.7109375" defaultRowHeight="15" x14ac:dyDescent="0.25"/>
  <cols>
    <col min="1" max="1" width="26" customWidth="1"/>
    <col min="2" max="2" width="20" customWidth="1"/>
    <col min="3" max="3" width="4" customWidth="1"/>
  </cols>
  <sheetData>
    <row r="1" spans="1:2" ht="25.5" customHeight="1" x14ac:dyDescent="0.25">
      <c r="A1" s="35" t="s">
        <v>0</v>
      </c>
      <c r="B1" s="35"/>
    </row>
    <row r="2" spans="1:2" ht="62.25" customHeight="1" x14ac:dyDescent="0.25">
      <c r="A2" s="36" t="s">
        <v>1</v>
      </c>
      <c r="B2" s="36"/>
    </row>
    <row r="4" spans="1:2" ht="27.75" customHeight="1" x14ac:dyDescent="0.25">
      <c r="A4" s="10" t="s">
        <v>2</v>
      </c>
      <c r="B4" s="10" t="s">
        <v>3</v>
      </c>
    </row>
    <row r="5" spans="1:2" x14ac:dyDescent="0.25">
      <c r="A5" s="12" t="s">
        <v>4</v>
      </c>
      <c r="B5" s="13">
        <v>1.57</v>
      </c>
    </row>
    <row r="6" spans="1:2" x14ac:dyDescent="0.25">
      <c r="A6" s="12" t="s">
        <v>5</v>
      </c>
      <c r="B6" s="13">
        <v>0.82</v>
      </c>
    </row>
    <row r="7" spans="1:2" x14ac:dyDescent="0.25">
      <c r="A7" s="12" t="s">
        <v>6</v>
      </c>
      <c r="B7" s="13">
        <v>0.56999999999999995</v>
      </c>
    </row>
    <row r="8" spans="1:2" x14ac:dyDescent="0.25">
      <c r="A8" s="12" t="s">
        <v>7</v>
      </c>
      <c r="B8" s="13">
        <v>0.56999999999999995</v>
      </c>
    </row>
    <row r="9" spans="1:2" x14ac:dyDescent="0.25">
      <c r="A9" s="12" t="s">
        <v>8</v>
      </c>
      <c r="B9" s="13">
        <v>0.56999999999999995</v>
      </c>
    </row>
    <row r="10" spans="1:2" x14ac:dyDescent="0.25">
      <c r="A10" s="12" t="s">
        <v>9</v>
      </c>
      <c r="B10" s="13">
        <v>0.98</v>
      </c>
    </row>
    <row r="11" spans="1:2" x14ac:dyDescent="0.25">
      <c r="A11" s="12" t="s">
        <v>10</v>
      </c>
      <c r="B11" s="13">
        <v>0.78</v>
      </c>
    </row>
    <row r="13" spans="1:2" x14ac:dyDescent="0.25">
      <c r="A13" s="4" t="s">
        <v>11</v>
      </c>
      <c r="B13" s="5">
        <v>200</v>
      </c>
    </row>
    <row r="15" spans="1:2" x14ac:dyDescent="0.25">
      <c r="A15" s="37" t="s">
        <v>12</v>
      </c>
      <c r="B15" s="37"/>
    </row>
    <row r="16" spans="1:2" x14ac:dyDescent="0.25">
      <c r="A16" s="10" t="s">
        <v>13</v>
      </c>
      <c r="B16" s="10" t="s">
        <v>14</v>
      </c>
    </row>
    <row r="17" spans="1:2" x14ac:dyDescent="0.25">
      <c r="A17" s="11">
        <v>0</v>
      </c>
      <c r="B17" s="11" t="s">
        <v>15</v>
      </c>
    </row>
    <row r="18" spans="1:2" x14ac:dyDescent="0.25">
      <c r="A18" s="11">
        <v>201</v>
      </c>
      <c r="B18" s="11" t="s">
        <v>16</v>
      </c>
    </row>
    <row r="19" spans="1:2" x14ac:dyDescent="0.25">
      <c r="A19" s="11">
        <v>401</v>
      </c>
      <c r="B19" s="11" t="s">
        <v>17</v>
      </c>
    </row>
    <row r="20" spans="1:2" x14ac:dyDescent="0.25">
      <c r="A20" s="38" t="s">
        <v>35</v>
      </c>
      <c r="B20" s="38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topLeftCell="A16" zoomScaleNormal="100" workbookViewId="0">
      <selection activeCell="C32" sqref="C32"/>
    </sheetView>
  </sheetViews>
  <sheetFormatPr defaultColWidth="8.7109375" defaultRowHeight="15" x14ac:dyDescent="0.25"/>
  <cols>
    <col min="1" max="1" width="30" customWidth="1"/>
    <col min="2" max="2" width="18.42578125" bestFit="1" customWidth="1"/>
    <col min="3" max="3" width="18.28515625" bestFit="1" customWidth="1"/>
    <col min="4" max="4" width="15.710937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109375" bestFit="1" customWidth="1"/>
  </cols>
  <sheetData>
    <row r="1" spans="1:3" ht="25.5" customHeight="1" x14ac:dyDescent="0.25">
      <c r="A1" s="41" t="s">
        <v>18</v>
      </c>
      <c r="B1" s="41"/>
      <c r="C1" s="41"/>
    </row>
    <row r="2" spans="1:3" ht="39.75" customHeight="1" x14ac:dyDescent="0.25">
      <c r="A2" s="36" t="s">
        <v>19</v>
      </c>
      <c r="B2" s="36"/>
      <c r="C2" s="36"/>
    </row>
    <row r="4" spans="1:3" x14ac:dyDescent="0.25">
      <c r="A4" s="4" t="s">
        <v>20</v>
      </c>
      <c r="B4" s="14" t="s">
        <v>21</v>
      </c>
    </row>
    <row r="5" spans="1:3" x14ac:dyDescent="0.25">
      <c r="A5" s="4" t="s">
        <v>22</v>
      </c>
      <c r="B5" s="14" t="s">
        <v>23</v>
      </c>
    </row>
    <row r="6" spans="1:3" x14ac:dyDescent="0.25">
      <c r="A6" s="4" t="s">
        <v>24</v>
      </c>
      <c r="B6" s="14" t="s">
        <v>25</v>
      </c>
    </row>
    <row r="8" spans="1:3" x14ac:dyDescent="0.25">
      <c r="A8" s="37" t="s">
        <v>26</v>
      </c>
      <c r="B8" s="37"/>
      <c r="C8" s="37"/>
    </row>
    <row r="9" spans="1:3" ht="30" customHeight="1" x14ac:dyDescent="0.25">
      <c r="A9" s="10" t="s">
        <v>2</v>
      </c>
      <c r="B9" s="10" t="s">
        <v>27</v>
      </c>
      <c r="C9" s="10" t="s">
        <v>3</v>
      </c>
    </row>
    <row r="10" spans="1:3" x14ac:dyDescent="0.25">
      <c r="A10" s="12" t="s">
        <v>4</v>
      </c>
      <c r="B10" s="15">
        <v>60</v>
      </c>
      <c r="C10" s="1">
        <f>VLOOKUP(A10,Parametros_PNAE!A5:B11,2,FALSE)</f>
        <v>1.57</v>
      </c>
    </row>
    <row r="11" spans="1:3" x14ac:dyDescent="0.25">
      <c r="A11" s="12" t="s">
        <v>5</v>
      </c>
      <c r="B11" s="15">
        <v>80</v>
      </c>
      <c r="C11" s="1">
        <f>VLOOKUP(A11,Parametros_PNAE!A6:B12,2,FALSE)</f>
        <v>0.82</v>
      </c>
    </row>
    <row r="12" spans="1:3" x14ac:dyDescent="0.25">
      <c r="A12" s="12" t="s">
        <v>6</v>
      </c>
      <c r="B12" s="15">
        <v>50</v>
      </c>
      <c r="C12" s="1">
        <f>VLOOKUP(A12,Parametros_PNAE!A7:B13,2,FALSE)</f>
        <v>0.56999999999999995</v>
      </c>
    </row>
    <row r="13" spans="1:3" x14ac:dyDescent="0.25">
      <c r="A13" s="12" t="s">
        <v>7</v>
      </c>
      <c r="B13" s="15">
        <v>0</v>
      </c>
      <c r="C13" s="1">
        <f>VLOOKUP(A13,Parametros_PNAE!A8:B14,2,FALSE)</f>
        <v>0.56999999999999995</v>
      </c>
    </row>
    <row r="14" spans="1:3" x14ac:dyDescent="0.25">
      <c r="A14" s="12" t="s">
        <v>8</v>
      </c>
      <c r="B14" s="15">
        <v>0</v>
      </c>
      <c r="C14" s="1">
        <f>VLOOKUP(A14,Parametros_PNAE!A9:B15,2,FALSE)</f>
        <v>0.56999999999999995</v>
      </c>
    </row>
    <row r="15" spans="1:3" x14ac:dyDescent="0.25">
      <c r="A15" s="12" t="s">
        <v>9</v>
      </c>
      <c r="B15" s="15">
        <v>0</v>
      </c>
      <c r="C15" s="1">
        <f>VLOOKUP(A15,Parametros_PNAE!A10:B16,2,FALSE)</f>
        <v>0.98</v>
      </c>
    </row>
    <row r="16" spans="1:3" x14ac:dyDescent="0.25">
      <c r="A16" s="12" t="s">
        <v>10</v>
      </c>
      <c r="B16" s="15">
        <v>0</v>
      </c>
      <c r="C16" s="1">
        <f>VLOOKUP(A16,Parametros_PNAE!A11:B17,2,FALSE)</f>
        <v>0.78</v>
      </c>
    </row>
    <row r="17" spans="1:4" x14ac:dyDescent="0.25">
      <c r="A17" s="6" t="s">
        <v>28</v>
      </c>
      <c r="B17" s="3">
        <f>SUM(B10:B16)</f>
        <v>190</v>
      </c>
      <c r="C17" s="7"/>
    </row>
    <row r="19" spans="1:4" x14ac:dyDescent="0.25">
      <c r="A19" s="4" t="s">
        <v>29</v>
      </c>
      <c r="B19" s="2" t="str">
        <f>VLOOKUP(B17,Parametros_PNAE!$A$17:$B$19,2,TRUE())</f>
        <v>Pequena</v>
      </c>
      <c r="C19" s="7"/>
    </row>
    <row r="20" spans="1:4" x14ac:dyDescent="0.25">
      <c r="A20" s="4" t="s">
        <v>30</v>
      </c>
      <c r="B20" s="2">
        <f>Parametros_PNAE!B13</f>
        <v>200</v>
      </c>
      <c r="C20" s="7"/>
    </row>
    <row r="21" spans="1:4" x14ac:dyDescent="0.25">
      <c r="A21" s="4" t="s">
        <v>31</v>
      </c>
      <c r="B21" s="8">
        <f>SUMPRODUCT(B10:B16,C10:C16)*200</f>
        <v>37660</v>
      </c>
      <c r="C21" s="7"/>
    </row>
    <row r="23" spans="1:4" ht="30" customHeight="1" x14ac:dyDescent="0.25">
      <c r="A23" s="42" t="s">
        <v>32</v>
      </c>
      <c r="B23" s="42"/>
      <c r="C23" s="9" t="str">
        <f>IF(OR(Simulador_Escola!B19="Pequena",Simulador_Escola!B10&gt;0,Simulador_Escola!B11&gt;0),"Elegível","Não Elegível")</f>
        <v>Elegível</v>
      </c>
    </row>
    <row r="24" spans="1:4" ht="25.5" customHeight="1" x14ac:dyDescent="0.25">
      <c r="A24" s="43" t="s">
        <v>33</v>
      </c>
      <c r="B24" s="43"/>
      <c r="C24" s="43"/>
    </row>
    <row r="25" spans="1:4" ht="15.75" thickBot="1" x14ac:dyDescent="0.3"/>
    <row r="26" spans="1:4" ht="15.75" thickBot="1" x14ac:dyDescent="0.3">
      <c r="A26" s="27" t="s">
        <v>36</v>
      </c>
      <c r="B26" s="23" t="s">
        <v>37</v>
      </c>
      <c r="C26" s="24">
        <v>0</v>
      </c>
    </row>
    <row r="27" spans="1:4" ht="25.5" x14ac:dyDescent="0.25">
      <c r="A27" s="18" t="s">
        <v>2</v>
      </c>
      <c r="B27" s="18" t="s">
        <v>27</v>
      </c>
      <c r="C27" s="22">
        <v>0</v>
      </c>
      <c r="D27" s="18" t="s">
        <v>3</v>
      </c>
    </row>
    <row r="28" spans="1:4" x14ac:dyDescent="0.25">
      <c r="A28" s="19" t="s">
        <v>4</v>
      </c>
      <c r="B28" s="20">
        <v>60</v>
      </c>
      <c r="C28" s="21">
        <f>B28*(1+$C$26)</f>
        <v>60</v>
      </c>
      <c r="D28" s="25">
        <f>C10</f>
        <v>1.57</v>
      </c>
    </row>
    <row r="29" spans="1:4" x14ac:dyDescent="0.25">
      <c r="A29" s="19" t="s">
        <v>5</v>
      </c>
      <c r="B29" s="20">
        <v>80</v>
      </c>
      <c r="C29" s="21">
        <f t="shared" ref="C29:C34" si="0">B29*(1+$C$26)</f>
        <v>80</v>
      </c>
      <c r="D29" s="25">
        <f t="shared" ref="D29:D34" si="1">C11</f>
        <v>0.82</v>
      </c>
    </row>
    <row r="30" spans="1:4" x14ac:dyDescent="0.25">
      <c r="A30" s="19" t="s">
        <v>6</v>
      </c>
      <c r="B30" s="20">
        <v>50</v>
      </c>
      <c r="C30" s="21">
        <f t="shared" si="0"/>
        <v>50</v>
      </c>
      <c r="D30" s="25">
        <f t="shared" si="1"/>
        <v>0.56999999999999995</v>
      </c>
    </row>
    <row r="31" spans="1:4" x14ac:dyDescent="0.25">
      <c r="A31" s="19" t="s">
        <v>7</v>
      </c>
      <c r="B31" s="20">
        <v>0</v>
      </c>
      <c r="C31" s="21">
        <f t="shared" si="0"/>
        <v>0</v>
      </c>
      <c r="D31" s="25">
        <f t="shared" si="1"/>
        <v>0.56999999999999995</v>
      </c>
    </row>
    <row r="32" spans="1:4" x14ac:dyDescent="0.25">
      <c r="A32" s="19" t="s">
        <v>8</v>
      </c>
      <c r="B32" s="20">
        <v>0</v>
      </c>
      <c r="C32" s="21">
        <f t="shared" si="0"/>
        <v>0</v>
      </c>
      <c r="D32" s="25">
        <f t="shared" si="1"/>
        <v>0.56999999999999995</v>
      </c>
    </row>
    <row r="33" spans="1:4" x14ac:dyDescent="0.25">
      <c r="A33" s="19" t="s">
        <v>9</v>
      </c>
      <c r="B33" s="20">
        <v>0</v>
      </c>
      <c r="C33" s="21">
        <f t="shared" si="0"/>
        <v>0</v>
      </c>
      <c r="D33" s="25">
        <f t="shared" si="1"/>
        <v>0.98</v>
      </c>
    </row>
    <row r="34" spans="1:4" x14ac:dyDescent="0.25">
      <c r="A34" s="19" t="s">
        <v>10</v>
      </c>
      <c r="B34" s="20">
        <v>0</v>
      </c>
      <c r="C34" s="21">
        <f t="shared" si="0"/>
        <v>0</v>
      </c>
      <c r="D34" s="25">
        <f t="shared" si="1"/>
        <v>0.78</v>
      </c>
    </row>
    <row r="35" spans="1:4" x14ac:dyDescent="0.25">
      <c r="A35" s="16" t="s">
        <v>38</v>
      </c>
      <c r="B35" s="17"/>
      <c r="C35" s="17">
        <f>SUM(C28:C34)</f>
        <v>190</v>
      </c>
      <c r="D35" s="26">
        <f>SUMPRODUCT(C28:C34,D28:D34)*B20</f>
        <v>37660</v>
      </c>
    </row>
    <row r="37" spans="1:4" x14ac:dyDescent="0.25">
      <c r="A37" s="39" t="s">
        <v>39</v>
      </c>
      <c r="B37" s="39"/>
      <c r="C37" s="39"/>
    </row>
    <row r="38" spans="1:4" x14ac:dyDescent="0.25">
      <c r="A38" s="40"/>
      <c r="B38" s="40"/>
      <c r="C38" s="40"/>
    </row>
    <row r="39" spans="1:4" x14ac:dyDescent="0.25">
      <c r="A39" s="18" t="s">
        <v>34</v>
      </c>
      <c r="B39" s="33">
        <f>C35</f>
        <v>190</v>
      </c>
      <c r="C39" s="34">
        <f>D35</f>
        <v>37660</v>
      </c>
    </row>
    <row r="40" spans="1:4" x14ac:dyDescent="0.25">
      <c r="A40" s="29">
        <v>-0.2</v>
      </c>
      <c r="B40" s="21">
        <f t="dataTable" ref="B40:C48" dt2D="0" dtr="0" r1="C26"/>
        <v>152</v>
      </c>
      <c r="C40" s="28">
        <v>30127.999999999996</v>
      </c>
    </row>
    <row r="41" spans="1:4" x14ac:dyDescent="0.25">
      <c r="A41" s="29">
        <v>-0.15</v>
      </c>
      <c r="B41" s="21">
        <v>161.5</v>
      </c>
      <c r="C41" s="28">
        <v>32011</v>
      </c>
    </row>
    <row r="42" spans="1:4" x14ac:dyDescent="0.25">
      <c r="A42" s="29">
        <v>-0.1</v>
      </c>
      <c r="B42" s="21">
        <v>171</v>
      </c>
      <c r="C42" s="28">
        <v>33894</v>
      </c>
    </row>
    <row r="43" spans="1:4" x14ac:dyDescent="0.25">
      <c r="A43" s="29">
        <v>-0.05</v>
      </c>
      <c r="B43" s="21">
        <v>180.5</v>
      </c>
      <c r="C43" s="28">
        <v>35777</v>
      </c>
    </row>
    <row r="44" spans="1:4" x14ac:dyDescent="0.25">
      <c r="A44" s="30">
        <v>0</v>
      </c>
      <c r="B44" s="31">
        <v>190</v>
      </c>
      <c r="C44" s="32">
        <v>37660</v>
      </c>
    </row>
    <row r="45" spans="1:4" x14ac:dyDescent="0.25">
      <c r="A45" s="29">
        <v>0.05</v>
      </c>
      <c r="B45" s="21">
        <v>199.5</v>
      </c>
      <c r="C45" s="28">
        <v>39543.000000000007</v>
      </c>
    </row>
    <row r="46" spans="1:4" x14ac:dyDescent="0.25">
      <c r="A46" s="29">
        <v>0.1</v>
      </c>
      <c r="B46" s="21">
        <v>209</v>
      </c>
      <c r="C46" s="28">
        <v>41426</v>
      </c>
    </row>
    <row r="47" spans="1:4" x14ac:dyDescent="0.25">
      <c r="A47" s="29">
        <v>0.15</v>
      </c>
      <c r="B47" s="21">
        <v>218.5</v>
      </c>
      <c r="C47" s="28">
        <v>43308.999999999993</v>
      </c>
    </row>
    <row r="48" spans="1:4" x14ac:dyDescent="0.25">
      <c r="A48" s="29">
        <v>0.2</v>
      </c>
      <c r="B48" s="21">
        <v>228</v>
      </c>
      <c r="C48" s="28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  <webPublishItems count="1">
    <webPublishItem id="24045" divId="Aula 5 - Modelo Parte II - Simulador (1)_24045" sourceType="sheet" destinationFile="C:\Users\José Ronaldo\Downloads\Aula 5 - Modelo Parte II - Simulador (1).mht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Ronaldo Naves Botelho</cp:lastModifiedBy>
  <cp:revision>0</cp:revision>
  <dcterms:created xsi:type="dcterms:W3CDTF">2026-08-19T11:20:05Z</dcterms:created>
  <dcterms:modified xsi:type="dcterms:W3CDTF">2026-08-31T21:19:15Z</dcterms:modified>
  <dc:language>en-US</dc:language>
</cp:coreProperties>
</file>